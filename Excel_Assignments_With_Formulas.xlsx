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UP SKILLS HUB\Excel\"/>
    </mc:Choice>
  </mc:AlternateContent>
  <xr:revisionPtr revIDLastSave="0" documentId="13_ncr:1_{ABA4484F-471F-4C6D-A9FE-88247D077FC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2" sheetId="4" r:id="rId1"/>
    <sheet name="Assignment 1" sheetId="1" r:id="rId2"/>
    <sheet name="Sheet1" sheetId="3" r:id="rId3"/>
    <sheet name="Assignment 2" sheetId="2" r:id="rId4"/>
  </sheets>
  <calcPr calcId="191029"/>
  <pivotCaches>
    <pivotCache cacheId="13" r:id="rId5"/>
    <pivotCache cacheId="17" r:id="rId6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  <c r="I5" i="2"/>
  <c r="M10" i="1"/>
  <c r="M9" i="1"/>
  <c r="M8" i="1"/>
  <c r="M7" i="1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I4" i="2"/>
  <c r="F4" i="2"/>
  <c r="E4" i="2"/>
  <c r="I3" i="2"/>
  <c r="F3" i="2"/>
  <c r="E3" i="2"/>
  <c r="I2" i="2"/>
  <c r="F2" i="2"/>
  <c r="E2" i="2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M6" i="1"/>
  <c r="J6" i="1"/>
  <c r="I6" i="1"/>
  <c r="H6" i="1"/>
  <c r="M5" i="1"/>
  <c r="J5" i="1"/>
  <c r="I5" i="1"/>
  <c r="H5" i="1"/>
  <c r="M4" i="1"/>
  <c r="J4" i="1"/>
  <c r="I4" i="1"/>
  <c r="H4" i="1"/>
  <c r="M3" i="1"/>
  <c r="J3" i="1"/>
  <c r="I3" i="1"/>
  <c r="H3" i="1"/>
  <c r="M2" i="1"/>
  <c r="J2" i="1"/>
  <c r="I2" i="1"/>
  <c r="H2" i="1"/>
</calcChain>
</file>

<file path=xl/sharedStrings.xml><?xml version="1.0" encoding="utf-8"?>
<sst xmlns="http://schemas.openxmlformats.org/spreadsheetml/2006/main" count="86" uniqueCount="44">
  <si>
    <t>Roll No</t>
  </si>
  <si>
    <t>Student Name</t>
  </si>
  <si>
    <t>Hindi</t>
  </si>
  <si>
    <t>English</t>
  </si>
  <si>
    <t>Physics</t>
  </si>
  <si>
    <t>Chemistry</t>
  </si>
  <si>
    <t>Total</t>
  </si>
  <si>
    <t>Average</t>
  </si>
  <si>
    <t>Grade</t>
  </si>
  <si>
    <t>RAM</t>
  </si>
  <si>
    <t>A Grade Count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</si>
  <si>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</si>
  <si>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</si>
  <si>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</si>
  <si>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</si>
  <si>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</si>
  <si>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</si>
  <si>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</si>
  <si>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</si>
  <si>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PREM</t>
  </si>
  <si>
    <t>SRNO</t>
  </si>
  <si>
    <t>ITEMS</t>
  </si>
  <si>
    <t>QTY</t>
  </si>
  <si>
    <t>RATE</t>
  </si>
  <si>
    <t>AMOUNT</t>
  </si>
  <si>
    <t>AC</t>
  </si>
  <si>
    <t>Total Items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</si>
  <si>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</si>
  <si>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</si>
  <si>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</si>
  <si>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</si>
  <si>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</si>
  <si>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</si>
  <si>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</si>
  <si>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</si>
  <si>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</si>
  <si>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>student get promote</t>
  </si>
  <si>
    <t>Row Labels</t>
  </si>
  <si>
    <t>Grand Total</t>
  </si>
  <si>
    <t>Sum of AMOUNT</t>
  </si>
  <si>
    <t>Sum of Average</t>
  </si>
  <si>
    <t>Sum of Total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</si>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</sst>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3" borderId="0" xfId="0" applyFont="1" applyFill="1"/>
    <xf numFmtId="0" fontId="0" fillId="2" borderId="0" xfId="0" applyFill="1"/>
    <xf numFmtId="0" fontId="2" fillId="2" borderId="0" xfId="0" applyFont="1" applyFill="1"/>
    <xf numFmtId="0" fontId="0" fillId="4" borderId="0" xfId="0" applyFill="1"/>
    <xf numFmtId="0" fontId="2" fillId="5" borderId="0" xfId="0" applyFont="1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[Excel_Assignments_With_Formulas.xlsx]Sheet2!PivotTable4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Sheet2!$A$2:$A$22</c:f>
              <c:multiLvlStrCache>
                <c:ptCount val="10"/>
                <c:lvl>
                  <c:pt idx="0">
                    <c:v>B</c:v>
                  </c:pt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A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</c:lvl>
                <c:lvl>
                  <c:pt idx="0">
                    <c:v>ANIL</c:v>
                  </c:pt>
                  <c:pt idx="1">
                    <c:v>ASHOK</c:v>
                  </c:pt>
                  <c:pt idx="2">
                    <c:v>ASHUTOSH</c:v>
                  </c:pt>
                  <c:pt idx="3">
                    <c:v>MAHESH</c:v>
                  </c:pt>
                  <c:pt idx="4">
                    <c:v>MANOJ</c:v>
                  </c:pt>
                  <c:pt idx="5">
                    <c:v>POOJA</c:v>
                  </c:pt>
                  <c:pt idx="6">
                    <c:v>PREM</c:v>
                  </c:pt>
                  <c:pt idx="7">
                    <c:v>RAJESH</c:v>
                  </c:pt>
                  <c:pt idx="8">
                    <c:v>RAM</c:v>
                  </c:pt>
                  <c:pt idx="9">
                    <c:v>RANJANA</c:v>
                  </c:pt>
                </c:lvl>
              </c:multiLvlStrCache>
            </c:multiLvlStrRef>
          </c:cat>
          <c:val>
            <c:numRef>
              <c:f>Sheet2!$B$2:$B$22</c:f>
              <c:numCache>
                <c:formatCode>General</c:formatCode>
                <c:ptCount val="10"/>
                <c:pt idx="0">
                  <c:v>74</c:v>
                </c:pt>
                <c:pt idx="1">
                  <c:v>77</c:v>
                </c:pt>
                <c:pt idx="2">
                  <c:v>78</c:v>
                </c:pt>
                <c:pt idx="3">
                  <c:v>64</c:v>
                </c:pt>
                <c:pt idx="4">
                  <c:v>86</c:v>
                </c:pt>
                <c:pt idx="5">
                  <c:v>76</c:v>
                </c:pt>
                <c:pt idx="6">
                  <c:v>86</c:v>
                </c:pt>
                <c:pt idx="7">
                  <c:v>73</c:v>
                </c:pt>
                <c:pt idx="8">
                  <c:v>77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8-4A00-9541-45477E2C192C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Sheet2!$A$2:$A$22</c:f>
              <c:multiLvlStrCache>
                <c:ptCount val="10"/>
                <c:lvl>
                  <c:pt idx="0">
                    <c:v>B</c:v>
                  </c:pt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A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</c:lvl>
                <c:lvl>
                  <c:pt idx="0">
                    <c:v>ANIL</c:v>
                  </c:pt>
                  <c:pt idx="1">
                    <c:v>ASHOK</c:v>
                  </c:pt>
                  <c:pt idx="2">
                    <c:v>ASHUTOSH</c:v>
                  </c:pt>
                  <c:pt idx="3">
                    <c:v>MAHESH</c:v>
                  </c:pt>
                  <c:pt idx="4">
                    <c:v>MANOJ</c:v>
                  </c:pt>
                  <c:pt idx="5">
                    <c:v>POOJA</c:v>
                  </c:pt>
                  <c:pt idx="6">
                    <c:v>PREM</c:v>
                  </c:pt>
                  <c:pt idx="7">
                    <c:v>RAJESH</c:v>
                  </c:pt>
                  <c:pt idx="8">
                    <c:v>RAM</c:v>
                  </c:pt>
                  <c:pt idx="9">
                    <c:v>RANJANA</c:v>
                  </c:pt>
                </c:lvl>
              </c:multiLvlStrCache>
            </c:multiLvlStrRef>
          </c:cat>
          <c:val>
            <c:numRef>
              <c:f>Sheet2!$C$2:$C$22</c:f>
              <c:numCache>
                <c:formatCode>General</c:formatCode>
                <c:ptCount val="10"/>
                <c:pt idx="0">
                  <c:v>14.8</c:v>
                </c:pt>
                <c:pt idx="1">
                  <c:v>15.4</c:v>
                </c:pt>
                <c:pt idx="2">
                  <c:v>15.6</c:v>
                </c:pt>
                <c:pt idx="3">
                  <c:v>12.8</c:v>
                </c:pt>
                <c:pt idx="4">
                  <c:v>17.2</c:v>
                </c:pt>
                <c:pt idx="5">
                  <c:v>15.2</c:v>
                </c:pt>
                <c:pt idx="6">
                  <c:v>17.2</c:v>
                </c:pt>
                <c:pt idx="7">
                  <c:v>14.6</c:v>
                </c:pt>
                <c:pt idx="8">
                  <c:v>15.4</c:v>
                </c:pt>
                <c:pt idx="9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18-4A00-9541-45477E2C1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2143"/>
        <c:axId val="17109823"/>
      </c:barChart>
      <c:catAx>
        <c:axId val="87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823"/>
        <c:crosses val="autoZero"/>
        <c:auto val="1"/>
        <c:lblAlgn val="ctr"/>
        <c:lblOffset val="100"/>
        <c:noMultiLvlLbl val="0"/>
      </c:catAx>
      <c:valAx>
        <c:axId val="1710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[Excel_Assignments_With_Formulas.xlsx]Sheet1!PivotTable3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Sheet1!$A$2:$A$22</c:f>
              <c:multiLvlStrCache>
                <c:ptCount val="10"/>
                <c:lvl>
                  <c:pt idx="0">
                    <c:v>20</c:v>
                  </c:pt>
                  <c:pt idx="1">
                    <c:v>10</c:v>
                  </c:pt>
                  <c:pt idx="2">
                    <c:v>15</c:v>
                  </c:pt>
                  <c:pt idx="3">
                    <c:v>17</c:v>
                  </c:pt>
                  <c:pt idx="4">
                    <c:v>30</c:v>
                  </c:pt>
                  <c:pt idx="5">
                    <c:v>5</c:v>
                  </c:pt>
                  <c:pt idx="6">
                    <c:v>25</c:v>
                  </c:pt>
                  <c:pt idx="7">
                    <c:v>30</c:v>
                  </c:pt>
                  <c:pt idx="8">
                    <c:v>18</c:v>
                  </c:pt>
                  <c:pt idx="9">
                    <c:v>14</c:v>
                  </c:pt>
                </c:lvl>
                <c:lvl>
                  <c:pt idx="0">
                    <c:v>AC</c:v>
                  </c:pt>
                  <c:pt idx="1">
                    <c:v>COMPUTER</c:v>
                  </c:pt>
                  <c:pt idx="2">
                    <c:v>COOLER</c:v>
                  </c:pt>
                  <c:pt idx="3">
                    <c:v>FAN</c:v>
                  </c:pt>
                  <c:pt idx="4">
                    <c:v>FRIDGE</c:v>
                  </c:pt>
                  <c:pt idx="5">
                    <c:v>KEYBOARD</c:v>
                  </c:pt>
                  <c:pt idx="6">
                    <c:v>MOUSE</c:v>
                  </c:pt>
                  <c:pt idx="7">
                    <c:v>PRINTER</c:v>
                  </c:pt>
                  <c:pt idx="8">
                    <c:v>TV</c:v>
                  </c:pt>
                  <c:pt idx="9">
                    <c:v>WASHING MACHINE</c:v>
                  </c:pt>
                </c:lvl>
              </c:multiLvlStrCache>
            </c:multiLvlStrRef>
          </c:cat>
          <c:val>
            <c:numRef>
              <c:f>Sheet1!$B$2:$B$22</c:f>
              <c:numCache>
                <c:formatCode>General</c:formatCode>
                <c:ptCount val="10"/>
                <c:pt idx="0">
                  <c:v>800000</c:v>
                </c:pt>
                <c:pt idx="1">
                  <c:v>250000</c:v>
                </c:pt>
                <c:pt idx="2">
                  <c:v>150000</c:v>
                </c:pt>
                <c:pt idx="3">
                  <c:v>34000</c:v>
                </c:pt>
                <c:pt idx="4">
                  <c:v>600000</c:v>
                </c:pt>
                <c:pt idx="5">
                  <c:v>1250</c:v>
                </c:pt>
                <c:pt idx="6">
                  <c:v>2500</c:v>
                </c:pt>
                <c:pt idx="7">
                  <c:v>360000</c:v>
                </c:pt>
                <c:pt idx="8">
                  <c:v>360000</c:v>
                </c:pt>
                <c:pt idx="9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E-4F2D-B531-4C207251D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00319"/>
        <c:axId val="283544191"/>
      </c:barChart>
      <c:catAx>
        <c:axId val="20970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544191"/>
        <c:crosses val="autoZero"/>
        <c:auto val="1"/>
        <c:lblAlgn val="ctr"/>
        <c:lblOffset val="100"/>
        <c:noMultiLvlLbl val="0"/>
      </c:catAx>
      <c:valAx>
        <c:axId val="2835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0</xdr:rowOff>
    </xdr:from>
    <xdr:to>
      <xdr:col>15</xdr:col>
      <xdr:colOff>314325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0C823F-23CA-44AB-BF27-9EA3924DB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11</xdr:col>
      <xdr:colOff>304800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BC01B-C783-4D90-96C3-FC0F30AF4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527778009258" createdVersion="6" refreshedVersion="6" minRefreshableVersion="3" recordCount="10" xr:uid="{F21310FA-BAE3-46E9-89C9-7539CE175545}">
  <cacheSource type="worksheet">
    <worksheetSource ref="A1:F11" sheet="Assignment 2"/>
  </cacheSource>
  <cacheFields count="6">
    <cacheField name="SRNO" numFmtId="0">
      <sharedItems containsSemiMixedTypes="0" containsString="0" containsNumber="1" containsInteger="1" minValue="1" maxValue="10"/>
    </cacheField>
    <cacheField name="ITEMS" numFmtId="0">
      <sharedItems count="10">
        <s v="AC"/>
        <s v="FRIDGE"/>
        <s v="COOLER"/>
        <s v="WASHING MACHINE"/>
        <s v="TV"/>
        <s v="FAN"/>
        <s v="COMPUTER"/>
        <s v="KEYBOARD"/>
        <s v="MOUSE"/>
        <s v="PRINTER"/>
      </sharedItems>
    </cacheField>
    <cacheField name="QTY" numFmtId="0">
      <sharedItems containsSemiMixedTypes="0" containsString="0" containsNumber="1" containsInteger="1" minValue="5" maxValue="30" count="9">
        <n v="20"/>
        <n v="30"/>
        <n v="15"/>
        <n v="14"/>
        <n v="18"/>
        <n v="17"/>
        <n v="10"/>
        <n v="5"/>
        <n v="25"/>
      </sharedItems>
    </cacheField>
    <cacheField name="RATE" numFmtId="0">
      <sharedItems containsSemiMixedTypes="0" containsString="0" containsNumber="1" containsInteger="1" minValue="100" maxValue="40000"/>
    </cacheField>
    <cacheField name="AMOUNT" numFmtId="0">
      <sharedItems containsSemiMixedTypes="0" containsString="0" containsNumber="1" containsInteger="1" minValue="1250" maxValue="800000"/>
    </cacheField>
    <cacheField name="AMOUNT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5.529553356479" createdVersion="6" refreshedVersion="6" minRefreshableVersion="3" recordCount="10" xr:uid="{0DBB3F18-22D6-4772-BDDC-5AF2003C78EA}">
  <cacheSource type="worksheet">
    <worksheetSource ref="B1:J11" sheet="Assignment 1"/>
  </cacheSource>
  <cacheFields count="9">
    <cacheField name="Student Name" numFmtId="0">
      <sharedItems count="10">
        <s v="RAM"/>
        <s v="ASHOK"/>
        <s v="MANOJ"/>
        <s v="RAJESH"/>
        <s v="RANJANA"/>
        <s v="POOJA"/>
        <s v="MAHESH"/>
        <s v="ASHUTOSH"/>
        <s v="ANIL"/>
        <s v="PREM"/>
      </sharedItems>
    </cacheField>
    <cacheField name="Hindi" numFmtId="0">
      <sharedItems containsSemiMixedTypes="0" containsString="0" containsNumber="1" containsInteger="1" minValue="14" maxValue="33"/>
    </cacheField>
    <cacheField name="English" numFmtId="0">
      <sharedItems containsSemiMixedTypes="0" containsString="0" containsNumber="1" containsInteger="1" minValue="8" maxValue="20"/>
    </cacheField>
    <cacheField name="Roll No" numFmtId="0">
      <sharedItems containsSemiMixedTypes="0" containsString="0" containsNumber="1" containsInteger="1" minValue="3" maxValue="20"/>
    </cacheField>
    <cacheField name="Physics" numFmtId="0">
      <sharedItems containsSemiMixedTypes="0" containsString="0" containsNumber="1" containsInteger="1" minValue="10" maxValue="18"/>
    </cacheField>
    <cacheField name="Chemistry" numFmtId="0">
      <sharedItems containsSemiMixedTypes="0" containsString="0" containsNumber="1" containsInteger="1" minValue="14" maxValue="27"/>
    </cacheField>
    <cacheField name="Total" numFmtId="0">
      <sharedItems containsSemiMixedTypes="0" containsString="0" containsNumber="1" containsInteger="1" minValue="64" maxValue="86"/>
    </cacheField>
    <cacheField name="Average" numFmtId="0">
      <sharedItems containsSemiMixedTypes="0" containsString="0" containsNumber="1" minValue="12.8" maxValue="17.2"/>
    </cacheField>
    <cacheField name="Grade" numFmtId="0">
      <sharedItems count="2">
        <s v="A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x v="0"/>
    <x v="0"/>
    <n v="40000"/>
    <n v="800000"/>
    <s v="Expensive"/>
  </r>
  <r>
    <n v="2"/>
    <x v="1"/>
    <x v="1"/>
    <n v="20000"/>
    <n v="600000"/>
    <s v="Expensive"/>
  </r>
  <r>
    <n v="3"/>
    <x v="2"/>
    <x v="2"/>
    <n v="10000"/>
    <n v="150000"/>
    <s v="Lets Buy it"/>
  </r>
  <r>
    <n v="4"/>
    <x v="3"/>
    <x v="3"/>
    <n v="15000"/>
    <n v="210000"/>
    <s v="Lets Buy it"/>
  </r>
  <r>
    <n v="5"/>
    <x v="4"/>
    <x v="4"/>
    <n v="20000"/>
    <n v="360000"/>
    <s v="Lets Buy it"/>
  </r>
  <r>
    <n v="6"/>
    <x v="5"/>
    <x v="5"/>
    <n v="2000"/>
    <n v="34000"/>
    <s v="Lets Buy it"/>
  </r>
  <r>
    <n v="7"/>
    <x v="6"/>
    <x v="6"/>
    <n v="25000"/>
    <n v="250000"/>
    <s v="Lets Buy it"/>
  </r>
  <r>
    <n v="8"/>
    <x v="7"/>
    <x v="7"/>
    <n v="250"/>
    <n v="1250"/>
    <s v="Lets Buy it"/>
  </r>
  <r>
    <n v="9"/>
    <x v="8"/>
    <x v="8"/>
    <n v="100"/>
    <n v="2500"/>
    <s v="Lets Buy it"/>
  </r>
  <r>
    <n v="10"/>
    <x v="9"/>
    <x v="1"/>
    <n v="12000"/>
    <n v="360000"/>
    <s v="Lets Buy i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0"/>
    <n v="10"/>
    <n v="14"/>
    <n v="18"/>
    <n v="15"/>
    <n v="77"/>
    <n v="15.4"/>
    <x v="0"/>
  </r>
  <r>
    <x v="1"/>
    <n v="21"/>
    <n v="12"/>
    <n v="14"/>
    <n v="12"/>
    <n v="18"/>
    <n v="77"/>
    <n v="15.4"/>
    <x v="0"/>
  </r>
  <r>
    <x v="2"/>
    <n v="33"/>
    <n v="15"/>
    <n v="7"/>
    <n v="14"/>
    <n v="17"/>
    <n v="86"/>
    <n v="17.2"/>
    <x v="0"/>
  </r>
  <r>
    <x v="3"/>
    <n v="15"/>
    <n v="14"/>
    <n v="8"/>
    <n v="16"/>
    <n v="20"/>
    <n v="73"/>
    <n v="14.6"/>
    <x v="1"/>
  </r>
  <r>
    <x v="4"/>
    <n v="14"/>
    <n v="17"/>
    <n v="10"/>
    <n v="13"/>
    <n v="18"/>
    <n v="72"/>
    <n v="14.4"/>
    <x v="1"/>
  </r>
  <r>
    <x v="5"/>
    <n v="16"/>
    <n v="8"/>
    <n v="20"/>
    <n v="17"/>
    <n v="15"/>
    <n v="76"/>
    <n v="15.2"/>
    <x v="0"/>
  </r>
  <r>
    <x v="6"/>
    <n v="18"/>
    <n v="19"/>
    <n v="3"/>
    <n v="10"/>
    <n v="14"/>
    <n v="64"/>
    <n v="12.8"/>
    <x v="1"/>
  </r>
  <r>
    <x v="7"/>
    <n v="19"/>
    <n v="20"/>
    <n v="7"/>
    <n v="14"/>
    <n v="18"/>
    <n v="78"/>
    <n v="15.6"/>
    <x v="0"/>
  </r>
  <r>
    <x v="8"/>
    <n v="22"/>
    <n v="13"/>
    <n v="8"/>
    <n v="12"/>
    <n v="19"/>
    <n v="74"/>
    <n v="14.8"/>
    <x v="1"/>
  </r>
  <r>
    <x v="9"/>
    <n v="26"/>
    <n v="12"/>
    <n v="10"/>
    <n v="11"/>
    <n v="27"/>
    <n v="86"/>
    <n v="17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D3A37-C508-4E45-BCD0-D9694DC46A0D}" name="PivotTable4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22" firstHeaderRow="0" firstDataRow="1" firstDataCol="1"/>
  <pivotFields count="9">
    <pivotField axis="axisRow" showAll="0">
      <items count="11">
        <item x="8"/>
        <item x="1"/>
        <item x="7"/>
        <item x="6"/>
        <item x="2"/>
        <item x="5"/>
        <item x="9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8"/>
  </rowFields>
  <rowItems count="21">
    <i>
      <x/>
    </i>
    <i r="1">
      <x v="1"/>
    </i>
    <i>
      <x v="1"/>
    </i>
    <i r="1">
      <x/>
    </i>
    <i>
      <x v="2"/>
    </i>
    <i r="1">
      <x/>
    </i>
    <i>
      <x v="3"/>
    </i>
    <i r="1">
      <x v="1"/>
    </i>
    <i>
      <x v="4"/>
    </i>
    <i r="1">
      <x/>
    </i>
    <i>
      <x v="5"/>
    </i>
    <i r="1">
      <x/>
    </i>
    <i>
      <x v="6"/>
    </i>
    <i r="1">
      <x/>
    </i>
    <i>
      <x v="7"/>
    </i>
    <i r="1">
      <x v="1"/>
    </i>
    <i>
      <x v="8"/>
    </i>
    <i r="1">
      <x/>
    </i>
    <i>
      <x v="9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6" baseField="0" baseItem="0"/>
    <dataField name="Sum of Average" fld="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34857-222A-4503-91F1-47561B204390}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22" firstHeaderRow="1" firstDataRow="1" firstDataCol="1"/>
  <pivotFields count="6">
    <pivotField showAll="0"/>
    <pivotField axis="axisRow" showAll="0">
      <items count="11">
        <item x="0"/>
        <item x="6"/>
        <item x="2"/>
        <item x="5"/>
        <item x="1"/>
        <item x="7"/>
        <item x="8"/>
        <item x="9"/>
        <item x="4"/>
        <item x="3"/>
        <item t="default"/>
      </items>
    </pivotField>
    <pivotField axis="axisRow" showAll="0">
      <items count="10">
        <item x="7"/>
        <item x="6"/>
        <item x="3"/>
        <item x="2"/>
        <item x="5"/>
        <item x="4"/>
        <item x="0"/>
        <item x="8"/>
        <item x="1"/>
        <item t="default"/>
      </items>
    </pivotField>
    <pivotField showAll="0"/>
    <pivotField dataField="1" showAll="0"/>
    <pivotField showAll="0"/>
  </pivotFields>
  <rowFields count="2">
    <field x="1"/>
    <field x="2"/>
  </rowFields>
  <rowItems count="21">
    <i>
      <x/>
    </i>
    <i r="1">
      <x v="6"/>
    </i>
    <i>
      <x v="1"/>
    </i>
    <i r="1">
      <x v="1"/>
    </i>
    <i>
      <x v="2"/>
    </i>
    <i r="1">
      <x v="3"/>
    </i>
    <i>
      <x v="3"/>
    </i>
    <i r="1">
      <x v="4"/>
    </i>
    <i>
      <x v="4"/>
    </i>
    <i r="1">
      <x v="8"/>
    </i>
    <i>
      <x v="5"/>
    </i>
    <i r="1">
      <x/>
    </i>
    <i>
      <x v="6"/>
    </i>
    <i r="1">
      <x v="7"/>
    </i>
    <i>
      <x v="7"/>
    </i>
    <i r="1">
      <x v="8"/>
    </i>
    <i>
      <x v="8"/>
    </i>
    <i r="1">
      <x v="5"/>
    </i>
    <i>
      <x v="9"/>
    </i>
    <i r="1">
      <x v="2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764E-5A87-4DE0-B8AC-F74344146848}">
  <dimension ref="A1:C22"/>
  <sheetViews>
    <sheetView tabSelected="1" workbookViewId="0"/>
  </sheetViews>
  <sheetFormatPr defaultRowHeight="15"/>
  <cols>
    <col min="1" max="1" width="13.140625" bestFit="1" customWidth="1"/>
    <col min="2" max="2" width="12" bestFit="1" customWidth="1"/>
    <col min="3" max="3" width="15" bestFit="1" customWidth="1"/>
    <col min="4" max="4" width="12.28515625" bestFit="1" customWidth="1"/>
    <col min="5" max="5" width="14" bestFit="1" customWidth="1"/>
    <col min="6" max="6" width="14.140625" bestFit="1" customWidth="1"/>
  </cols>
  <sheetData>
    <row r="1" spans="1:3">
      <c r="A1" s="10" t="s">
        <v>37</v>
      </c>
      <c r="B1" t="s">
        <v>41</v>
      </c>
      <c r="C1" t="s">
        <v>40</v>
      </c>
    </row>
    <row r="2" spans="1:3">
      <c r="A2" s="11" t="s">
        <v>18</v>
      </c>
      <c r="B2" s="12">
        <v>74</v>
      </c>
      <c r="C2" s="12">
        <v>14.8</v>
      </c>
    </row>
    <row r="3" spans="1:3">
      <c r="A3" s="13" t="s">
        <v>42</v>
      </c>
      <c r="B3" s="12">
        <v>74</v>
      </c>
      <c r="C3" s="12">
        <v>14.8</v>
      </c>
    </row>
    <row r="4" spans="1:3">
      <c r="A4" s="11" t="s">
        <v>11</v>
      </c>
      <c r="B4" s="12">
        <v>77</v>
      </c>
      <c r="C4" s="12">
        <v>15.4</v>
      </c>
    </row>
    <row r="5" spans="1:3">
      <c r="A5" s="13" t="s">
        <v>43</v>
      </c>
      <c r="B5" s="12">
        <v>77</v>
      </c>
      <c r="C5" s="12">
        <v>15.4</v>
      </c>
    </row>
    <row r="6" spans="1:3">
      <c r="A6" s="11" t="s">
        <v>17</v>
      </c>
      <c r="B6" s="12">
        <v>78</v>
      </c>
      <c r="C6" s="12">
        <v>15.6</v>
      </c>
    </row>
    <row r="7" spans="1:3">
      <c r="A7" s="13" t="s">
        <v>43</v>
      </c>
      <c r="B7" s="12">
        <v>78</v>
      </c>
      <c r="C7" s="12">
        <v>15.6</v>
      </c>
    </row>
    <row r="8" spans="1:3">
      <c r="A8" s="11" t="s">
        <v>16</v>
      </c>
      <c r="B8" s="12">
        <v>64</v>
      </c>
      <c r="C8" s="12">
        <v>12.8</v>
      </c>
    </row>
    <row r="9" spans="1:3">
      <c r="A9" s="13" t="s">
        <v>42</v>
      </c>
      <c r="B9" s="12">
        <v>64</v>
      </c>
      <c r="C9" s="12">
        <v>12.8</v>
      </c>
    </row>
    <row r="10" spans="1:3">
      <c r="A10" s="11" t="s">
        <v>12</v>
      </c>
      <c r="B10" s="12">
        <v>86</v>
      </c>
      <c r="C10" s="12">
        <v>17.2</v>
      </c>
    </row>
    <row r="11" spans="1:3">
      <c r="A11" s="13" t="s">
        <v>43</v>
      </c>
      <c r="B11" s="12">
        <v>86</v>
      </c>
      <c r="C11" s="12">
        <v>17.2</v>
      </c>
    </row>
    <row r="12" spans="1:3">
      <c r="A12" s="11" t="s">
        <v>15</v>
      </c>
      <c r="B12" s="12">
        <v>76</v>
      </c>
      <c r="C12" s="12">
        <v>15.2</v>
      </c>
    </row>
    <row r="13" spans="1:3">
      <c r="A13" s="13" t="s">
        <v>43</v>
      </c>
      <c r="B13" s="12">
        <v>76</v>
      </c>
      <c r="C13" s="12">
        <v>15.2</v>
      </c>
    </row>
    <row r="14" spans="1:3">
      <c r="A14" s="11" t="s">
        <v>19</v>
      </c>
      <c r="B14" s="12">
        <v>86</v>
      </c>
      <c r="C14" s="12">
        <v>17.2</v>
      </c>
    </row>
    <row r="15" spans="1:3">
      <c r="A15" s="13" t="s">
        <v>43</v>
      </c>
      <c r="B15" s="12">
        <v>86</v>
      </c>
      <c r="C15" s="12">
        <v>17.2</v>
      </c>
    </row>
    <row r="16" spans="1:3">
      <c r="A16" s="11" t="s">
        <v>13</v>
      </c>
      <c r="B16" s="12">
        <v>73</v>
      </c>
      <c r="C16" s="12">
        <v>14.6</v>
      </c>
    </row>
    <row r="17" spans="1:3">
      <c r="A17" s="13" t="s">
        <v>42</v>
      </c>
      <c r="B17" s="12">
        <v>73</v>
      </c>
      <c r="C17" s="12">
        <v>14.6</v>
      </c>
    </row>
    <row r="18" spans="1:3">
      <c r="A18" s="11" t="s">
        <v>9</v>
      </c>
      <c r="B18" s="12">
        <v>77</v>
      </c>
      <c r="C18" s="12">
        <v>15.4</v>
      </c>
    </row>
    <row r="19" spans="1:3">
      <c r="A19" s="13" t="s">
        <v>43</v>
      </c>
      <c r="B19" s="12">
        <v>77</v>
      </c>
      <c r="C19" s="12">
        <v>15.4</v>
      </c>
    </row>
    <row r="20" spans="1:3">
      <c r="A20" s="11" t="s">
        <v>14</v>
      </c>
      <c r="B20" s="12">
        <v>72</v>
      </c>
      <c r="C20" s="12">
        <v>14.4</v>
      </c>
    </row>
    <row r="21" spans="1:3">
      <c r="A21" s="13" t="s">
        <v>42</v>
      </c>
      <c r="B21" s="12">
        <v>72</v>
      </c>
      <c r="C21" s="12">
        <v>14.4</v>
      </c>
    </row>
    <row r="22" spans="1:3">
      <c r="A22" s="11" t="s">
        <v>38</v>
      </c>
      <c r="B22" s="12">
        <v>763</v>
      </c>
      <c r="C22" s="12">
        <v>152.60000000000002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workbookViewId="0">
      <selection sqref="A1:J11"/>
    </sheetView>
  </sheetViews>
  <sheetFormatPr defaultColWidth="9" defaultRowHeight="15"/>
  <cols>
    <col min="2" max="2" width="16.85546875" customWidth="1"/>
    <col min="7" max="7" width="10.28515625" customWidth="1"/>
    <col min="8" max="8" width="12" customWidth="1"/>
    <col min="9" max="9" width="14.140625" customWidth="1"/>
    <col min="11" max="11" width="7" customWidth="1"/>
    <col min="12" max="12" width="17.140625" customWidth="1"/>
    <col min="15" max="15" width="29.140625" customWidth="1"/>
  </cols>
  <sheetData>
    <row r="1" spans="1:49" s="5" customFormat="1">
      <c r="B1" s="6" t="s">
        <v>1</v>
      </c>
      <c r="C1" s="6" t="s">
        <v>2</v>
      </c>
      <c r="D1" s="6" t="s">
        <v>3</v>
      </c>
      <c r="E1" s="6" t="s">
        <v>0</v>
      </c>
      <c r="F1" s="6" t="s">
        <v>4</v>
      </c>
      <c r="G1" s="6" t="s">
        <v>5</v>
      </c>
      <c r="H1" s="4" t="s">
        <v>6</v>
      </c>
      <c r="I1" s="4" t="s">
        <v>7</v>
      </c>
      <c r="J1" s="4" t="s">
        <v>8</v>
      </c>
      <c r="K1" s="7"/>
      <c r="L1" s="7"/>
      <c r="M1" s="7"/>
      <c r="N1" s="7"/>
      <c r="O1" s="9" t="s">
        <v>36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ht="15.75">
      <c r="A2">
        <v>1</v>
      </c>
      <c r="B2" t="s">
        <v>9</v>
      </c>
      <c r="C2">
        <v>20</v>
      </c>
      <c r="D2">
        <v>10</v>
      </c>
      <c r="E2">
        <v>14</v>
      </c>
      <c r="F2">
        <v>18</v>
      </c>
      <c r="G2">
        <v>15</v>
      </c>
      <c r="H2">
        <f t="shared" ref="H2:H11" si="0">SUM(C2:G2)</f>
        <v>77</v>
      </c>
      <c r="I2">
        <f t="shared" ref="I2:I11" si="1">AVERAGE(C2:G2)</f>
        <v>15.4</v>
      </c>
      <c r="J2" s="2" t="str">
        <f t="shared" ref="J2:J11" si="2">IF(I2&gt;15,"A","B")</f>
        <v>A</v>
      </c>
      <c r="L2" s="4" t="s">
        <v>10</v>
      </c>
      <c r="M2">
        <f>COUNTIF(J2:J11,"A")</f>
        <v>6</v>
      </c>
      <c r="O2" t="str">
        <f>IF(H2:H11&gt;80,"Pass","Fail")</f>
        <v>Fail</v>
      </c>
    </row>
    <row r="3" spans="1:49">
      <c r="A3">
        <v>2</v>
      </c>
      <c r="B3" t="s">
        <v>11</v>
      </c>
      <c r="C3">
        <v>21</v>
      </c>
      <c r="D3">
        <v>12</v>
      </c>
      <c r="E3">
        <v>14</v>
      </c>
      <c r="F3">
        <v>12</v>
      </c>
      <c r="G3">
        <v>18</v>
      </c>
      <c r="H3">
        <f t="shared" si="0"/>
        <v>77</v>
      </c>
      <c r="I3">
        <f t="shared" si="1"/>
        <v>15.4</v>
      </c>
      <c r="J3" t="str">
        <f t="shared" si="2"/>
        <v>A</v>
      </c>
      <c r="L3" s="4" t="s">
        <v>10</v>
      </c>
      <c r="M3">
        <f>COUNTIF(J2:J11,"B")</f>
        <v>4</v>
      </c>
      <c r="O3" t="str">
        <f t="shared" ref="O3:O11" si="3">IF(H3:H12&gt;80,"Pass","Fail")</f>
        <v>Fail</v>
      </c>
    </row>
    <row r="4" spans="1:49">
      <c r="A4">
        <v>3</v>
      </c>
      <c r="B4" t="s">
        <v>12</v>
      </c>
      <c r="C4">
        <v>33</v>
      </c>
      <c r="D4">
        <v>15</v>
      </c>
      <c r="E4">
        <v>7</v>
      </c>
      <c r="F4">
        <v>14</v>
      </c>
      <c r="G4">
        <v>17</v>
      </c>
      <c r="H4">
        <f t="shared" si="0"/>
        <v>86</v>
      </c>
      <c r="I4">
        <f t="shared" si="1"/>
        <v>17.2</v>
      </c>
      <c r="J4" t="str">
        <f t="shared" si="2"/>
        <v>A</v>
      </c>
      <c r="L4" s="4" t="s">
        <v>10</v>
      </c>
      <c r="M4">
        <f>COUNTA(B2:B11)</f>
        <v>10</v>
      </c>
      <c r="O4" t="str">
        <f t="shared" si="3"/>
        <v>Pass</v>
      </c>
    </row>
    <row r="5" spans="1:49">
      <c r="A5">
        <v>4</v>
      </c>
      <c r="B5" t="s">
        <v>13</v>
      </c>
      <c r="C5">
        <v>15</v>
      </c>
      <c r="D5">
        <v>14</v>
      </c>
      <c r="E5">
        <v>8</v>
      </c>
      <c r="F5">
        <v>16</v>
      </c>
      <c r="G5">
        <v>20</v>
      </c>
      <c r="H5">
        <f t="shared" si="0"/>
        <v>73</v>
      </c>
      <c r="I5">
        <f t="shared" si="1"/>
        <v>14.6</v>
      </c>
      <c r="J5" t="str">
        <f t="shared" si="2"/>
        <v>B</v>
      </c>
      <c r="L5" s="4" t="s">
        <v>10</v>
      </c>
      <c r="M5">
        <f>COUNTIF(C2:C11,"&gt;20")</f>
        <v>4</v>
      </c>
      <c r="O5" t="str">
        <f t="shared" si="3"/>
        <v>Fail</v>
      </c>
    </row>
    <row r="6" spans="1:49">
      <c r="A6">
        <v>5</v>
      </c>
      <c r="B6" t="s">
        <v>14</v>
      </c>
      <c r="C6">
        <v>14</v>
      </c>
      <c r="D6">
        <v>17</v>
      </c>
      <c r="E6">
        <v>10</v>
      </c>
      <c r="F6">
        <v>13</v>
      </c>
      <c r="G6">
        <v>18</v>
      </c>
      <c r="H6">
        <f t="shared" si="0"/>
        <v>72</v>
      </c>
      <c r="I6">
        <f t="shared" si="1"/>
        <v>14.4</v>
      </c>
      <c r="J6" t="str">
        <f t="shared" si="2"/>
        <v>B</v>
      </c>
      <c r="L6" s="4" t="s">
        <v>10</v>
      </c>
      <c r="M6">
        <f>COUNTIF(D2:D11,"&lt;15")</f>
        <v>6</v>
      </c>
      <c r="O6" t="str">
        <f t="shared" si="3"/>
        <v>Fail</v>
      </c>
    </row>
    <row r="7" spans="1:49">
      <c r="A7">
        <v>6</v>
      </c>
      <c r="B7" t="s">
        <v>15</v>
      </c>
      <c r="C7">
        <v>16</v>
      </c>
      <c r="D7">
        <v>8</v>
      </c>
      <c r="E7">
        <v>20</v>
      </c>
      <c r="F7">
        <v>17</v>
      </c>
      <c r="G7">
        <v>15</v>
      </c>
      <c r="H7">
        <f t="shared" si="0"/>
        <v>76</v>
      </c>
      <c r="I7">
        <f t="shared" si="1"/>
        <v>15.2</v>
      </c>
      <c r="J7" t="str">
        <f t="shared" si="2"/>
        <v>A</v>
      </c>
      <c r="L7" s="4" t="s">
        <v>10</v>
      </c>
      <c r="M7">
        <f>SUMIF(B2:B11,"ASHOK",H2:H11)</f>
        <v>77</v>
      </c>
      <c r="O7" t="str">
        <f t="shared" si="3"/>
        <v>Fail</v>
      </c>
    </row>
    <row r="8" spans="1:49">
      <c r="A8">
        <v>7</v>
      </c>
      <c r="B8" t="s">
        <v>16</v>
      </c>
      <c r="C8">
        <v>18</v>
      </c>
      <c r="D8">
        <v>19</v>
      </c>
      <c r="E8">
        <v>3</v>
      </c>
      <c r="F8">
        <v>10</v>
      </c>
      <c r="G8">
        <v>14</v>
      </c>
      <c r="H8">
        <f t="shared" si="0"/>
        <v>64</v>
      </c>
      <c r="I8">
        <f t="shared" si="1"/>
        <v>12.8</v>
      </c>
      <c r="J8" t="str">
        <f t="shared" si="2"/>
        <v>B</v>
      </c>
      <c r="L8" s="4" t="s">
        <v>10</v>
      </c>
      <c r="M8" s="3">
        <f>SUMIF(B2:B11,"ASHOK",I2:I11)</f>
        <v>15.4</v>
      </c>
      <c r="O8" t="str">
        <f t="shared" si="3"/>
        <v>Fail</v>
      </c>
    </row>
    <row r="9" spans="1:49">
      <c r="A9">
        <v>8</v>
      </c>
      <c r="B9" t="s">
        <v>17</v>
      </c>
      <c r="C9">
        <v>19</v>
      </c>
      <c r="D9">
        <v>20</v>
      </c>
      <c r="E9">
        <v>7</v>
      </c>
      <c r="F9">
        <v>14</v>
      </c>
      <c r="G9">
        <v>18</v>
      </c>
      <c r="H9">
        <f t="shared" si="0"/>
        <v>78</v>
      </c>
      <c r="I9">
        <f t="shared" si="1"/>
        <v>15.6</v>
      </c>
      <c r="J9" t="str">
        <f t="shared" si="2"/>
        <v>A</v>
      </c>
      <c r="L9" s="4" t="s">
        <v>10</v>
      </c>
      <c r="M9" s="3">
        <f>SUMIF(B2:B11,"MANOJ",H2:H11)</f>
        <v>86</v>
      </c>
      <c r="O9" t="str">
        <f t="shared" si="3"/>
        <v>Fail</v>
      </c>
    </row>
    <row r="10" spans="1:49">
      <c r="A10">
        <v>9</v>
      </c>
      <c r="B10" t="s">
        <v>18</v>
      </c>
      <c r="C10">
        <v>22</v>
      </c>
      <c r="D10">
        <v>13</v>
      </c>
      <c r="E10">
        <v>8</v>
      </c>
      <c r="F10">
        <v>12</v>
      </c>
      <c r="G10">
        <v>19</v>
      </c>
      <c r="H10">
        <f t="shared" si="0"/>
        <v>74</v>
      </c>
      <c r="I10">
        <f t="shared" si="1"/>
        <v>14.8</v>
      </c>
      <c r="J10" t="str">
        <f t="shared" si="2"/>
        <v>B</v>
      </c>
      <c r="L10" s="4" t="s">
        <v>10</v>
      </c>
      <c r="M10" s="3">
        <f>SUMIF(B2:B11,"MANOJ",I2:I11)</f>
        <v>17.2</v>
      </c>
      <c r="O10" t="str">
        <f t="shared" si="3"/>
        <v>Fail</v>
      </c>
    </row>
    <row r="11" spans="1:49">
      <c r="A11">
        <v>10</v>
      </c>
      <c r="B11" t="s">
        <v>19</v>
      </c>
      <c r="C11">
        <v>26</v>
      </c>
      <c r="D11">
        <v>12</v>
      </c>
      <c r="E11">
        <v>10</v>
      </c>
      <c r="F11">
        <v>11</v>
      </c>
      <c r="G11">
        <v>27</v>
      </c>
      <c r="H11">
        <f t="shared" si="0"/>
        <v>86</v>
      </c>
      <c r="I11">
        <f t="shared" si="1"/>
        <v>17.2</v>
      </c>
      <c r="J11" t="str">
        <f t="shared" si="2"/>
        <v>A</v>
      </c>
      <c r="O11" t="str">
        <f t="shared" si="3"/>
        <v>Pass</v>
      </c>
    </row>
    <row r="13" spans="1:49">
      <c r="B13" s="3"/>
    </row>
  </sheetData>
  <conditionalFormatting sqref="M11">
    <cfRule type="cellIs" dxfId="2" priority="2" operator="greaterThan">
      <formula>80</formula>
    </cfRule>
  </conditionalFormatting>
  <conditionalFormatting sqref="H1:H11">
    <cfRule type="top10" dxfId="0" priority="1" percent="1" rank="80"/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64D8-F2ED-420C-BB0D-36503D923254}">
  <dimension ref="A1:B22"/>
  <sheetViews>
    <sheetView workbookViewId="0">
      <selection activeCell="O10" sqref="O10"/>
    </sheetView>
  </sheetViews>
  <sheetFormatPr defaultRowHeight="15"/>
  <cols>
    <col min="1" max="1" width="21.140625" bestFit="1" customWidth="1"/>
    <col min="2" max="3" width="16.140625" bestFit="1" customWidth="1"/>
  </cols>
  <sheetData>
    <row r="1" spans="1:2">
      <c r="A1" s="10" t="s">
        <v>37</v>
      </c>
      <c r="B1" t="s">
        <v>39</v>
      </c>
    </row>
    <row r="2" spans="1:2">
      <c r="A2" s="11" t="s">
        <v>25</v>
      </c>
      <c r="B2" s="12">
        <v>800000</v>
      </c>
    </row>
    <row r="3" spans="1:2">
      <c r="A3" s="13">
        <v>20</v>
      </c>
      <c r="B3" s="12">
        <v>800000</v>
      </c>
    </row>
    <row r="4" spans="1:2">
      <c r="A4" s="11" t="s">
        <v>32</v>
      </c>
      <c r="B4" s="12">
        <v>250000</v>
      </c>
    </row>
    <row r="5" spans="1:2">
      <c r="A5" s="13">
        <v>10</v>
      </c>
      <c r="B5" s="12">
        <v>250000</v>
      </c>
    </row>
    <row r="6" spans="1:2">
      <c r="A6" s="11" t="s">
        <v>28</v>
      </c>
      <c r="B6" s="12">
        <v>150000</v>
      </c>
    </row>
    <row r="7" spans="1:2">
      <c r="A7" s="13">
        <v>15</v>
      </c>
      <c r="B7" s="12">
        <v>150000</v>
      </c>
    </row>
    <row r="8" spans="1:2">
      <c r="A8" s="11" t="s">
        <v>31</v>
      </c>
      <c r="B8" s="12">
        <v>34000</v>
      </c>
    </row>
    <row r="9" spans="1:2">
      <c r="A9" s="13">
        <v>17</v>
      </c>
      <c r="B9" s="12">
        <v>34000</v>
      </c>
    </row>
    <row r="10" spans="1:2">
      <c r="A10" s="11" t="s">
        <v>27</v>
      </c>
      <c r="B10" s="12">
        <v>600000</v>
      </c>
    </row>
    <row r="11" spans="1:2">
      <c r="A11" s="13">
        <v>30</v>
      </c>
      <c r="B11" s="12">
        <v>600000</v>
      </c>
    </row>
    <row r="12" spans="1:2">
      <c r="A12" s="11" t="s">
        <v>33</v>
      </c>
      <c r="B12" s="12">
        <v>1250</v>
      </c>
    </row>
    <row r="13" spans="1:2">
      <c r="A13" s="13">
        <v>5</v>
      </c>
      <c r="B13" s="12">
        <v>1250</v>
      </c>
    </row>
    <row r="14" spans="1:2">
      <c r="A14" s="11" t="s">
        <v>34</v>
      </c>
      <c r="B14" s="12">
        <v>2500</v>
      </c>
    </row>
    <row r="15" spans="1:2">
      <c r="A15" s="13">
        <v>25</v>
      </c>
      <c r="B15" s="12">
        <v>2500</v>
      </c>
    </row>
    <row r="16" spans="1:2">
      <c r="A16" s="11" t="s">
        <v>35</v>
      </c>
      <c r="B16" s="12">
        <v>360000</v>
      </c>
    </row>
    <row r="17" spans="1:2">
      <c r="A17" s="13">
        <v>30</v>
      </c>
      <c r="B17" s="12">
        <v>360000</v>
      </c>
    </row>
    <row r="18" spans="1:2">
      <c r="A18" s="11" t="s">
        <v>30</v>
      </c>
      <c r="B18" s="12">
        <v>360000</v>
      </c>
    </row>
    <row r="19" spans="1:2">
      <c r="A19" s="13">
        <v>18</v>
      </c>
      <c r="B19" s="12">
        <v>360000</v>
      </c>
    </row>
    <row r="20" spans="1:2">
      <c r="A20" s="11" t="s">
        <v>29</v>
      </c>
      <c r="B20" s="12">
        <v>210000</v>
      </c>
    </row>
    <row r="21" spans="1:2">
      <c r="A21" s="13">
        <v>14</v>
      </c>
      <c r="B21" s="12">
        <v>210000</v>
      </c>
    </row>
    <row r="22" spans="1:2">
      <c r="A22" s="11" t="s">
        <v>38</v>
      </c>
      <c r="B22" s="12">
        <v>2767750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sqref="A1:F11"/>
    </sheetView>
  </sheetViews>
  <sheetFormatPr defaultColWidth="9" defaultRowHeight="15"/>
  <cols>
    <col min="2" max="2" width="18.85546875" customWidth="1"/>
    <col min="4" max="4" width="11.28515625" customWidth="1"/>
    <col min="5" max="5" width="13.28515625" customWidth="1"/>
    <col min="6" max="6" width="14.5703125" customWidth="1"/>
    <col min="8" max="8" width="30.42578125" customWidth="1"/>
  </cols>
  <sheetData>
    <row r="1" spans="1:9">
      <c r="A1" s="1" t="s">
        <v>20</v>
      </c>
      <c r="B1" s="1" t="s">
        <v>21</v>
      </c>
      <c r="C1" s="1" t="s">
        <v>22</v>
      </c>
      <c r="D1" s="1" t="s">
        <v>23</v>
      </c>
      <c r="E1" s="8" t="s">
        <v>24</v>
      </c>
      <c r="F1" s="8" t="s">
        <v>24</v>
      </c>
    </row>
    <row r="2" spans="1:9">
      <c r="A2">
        <v>1</v>
      </c>
      <c r="B2" t="s">
        <v>25</v>
      </c>
      <c r="C2">
        <v>20</v>
      </c>
      <c r="D2">
        <v>40000</v>
      </c>
      <c r="E2">
        <f t="shared" ref="E2:E11" si="0">C2*D2</f>
        <v>800000</v>
      </c>
      <c r="F2" t="str">
        <f t="shared" ref="F2:F11" si="1">IF(E2&gt;500000,"Expensive","Lets Buy it")</f>
        <v>Expensive</v>
      </c>
      <c r="H2" s="8" t="s">
        <v>26</v>
      </c>
      <c r="I2">
        <f>COUNTA(B2:B11)</f>
        <v>10</v>
      </c>
    </row>
    <row r="3" spans="1:9">
      <c r="A3">
        <v>2</v>
      </c>
      <c r="B3" t="s">
        <v>27</v>
      </c>
      <c r="C3">
        <v>30</v>
      </c>
      <c r="D3">
        <v>20000</v>
      </c>
      <c r="E3">
        <f t="shared" si="0"/>
        <v>600000</v>
      </c>
      <c r="F3" t="str">
        <f t="shared" si="1"/>
        <v>Expensive</v>
      </c>
      <c r="H3" s="8" t="s">
        <v>26</v>
      </c>
      <c r="I3">
        <f>COUNTIF(C2:C11,"&gt;20")</f>
        <v>3</v>
      </c>
    </row>
    <row r="4" spans="1:9">
      <c r="A4">
        <v>3</v>
      </c>
      <c r="B4" t="s">
        <v>28</v>
      </c>
      <c r="C4">
        <v>15</v>
      </c>
      <c r="D4">
        <v>10000</v>
      </c>
      <c r="E4">
        <f t="shared" si="0"/>
        <v>150000</v>
      </c>
      <c r="F4" t="str">
        <f t="shared" si="1"/>
        <v>Lets Buy it</v>
      </c>
      <c r="H4" s="8" t="s">
        <v>26</v>
      </c>
      <c r="I4">
        <f>COUNTIF(C2:C11,"&lt;20")</f>
        <v>6</v>
      </c>
    </row>
    <row r="5" spans="1:9">
      <c r="A5">
        <v>4</v>
      </c>
      <c r="B5" t="s">
        <v>29</v>
      </c>
      <c r="C5">
        <v>14</v>
      </c>
      <c r="D5">
        <v>15000</v>
      </c>
      <c r="E5">
        <f t="shared" si="0"/>
        <v>210000</v>
      </c>
      <c r="F5" t="str">
        <f t="shared" si="1"/>
        <v>Lets Buy it</v>
      </c>
      <c r="H5" s="8" t="s">
        <v>26</v>
      </c>
      <c r="I5">
        <f>SUMIF(B1:B10,"COMPUTER",E1:E10)</f>
        <v>250000</v>
      </c>
    </row>
    <row r="6" spans="1:9">
      <c r="A6">
        <v>5</v>
      </c>
      <c r="B6" t="s">
        <v>30</v>
      </c>
      <c r="C6">
        <v>18</v>
      </c>
      <c r="D6">
        <v>20000</v>
      </c>
      <c r="E6">
        <f t="shared" si="0"/>
        <v>360000</v>
      </c>
      <c r="F6" t="str">
        <f t="shared" si="1"/>
        <v>Lets Buy it</v>
      </c>
    </row>
    <row r="7" spans="1:9">
      <c r="A7">
        <v>6</v>
      </c>
      <c r="B7" t="s">
        <v>31</v>
      </c>
      <c r="C7">
        <v>17</v>
      </c>
      <c r="D7">
        <v>2000</v>
      </c>
      <c r="E7">
        <f t="shared" si="0"/>
        <v>34000</v>
      </c>
      <c r="F7" t="str">
        <f t="shared" si="1"/>
        <v>Lets Buy it</v>
      </c>
    </row>
    <row r="8" spans="1:9">
      <c r="A8">
        <v>7</v>
      </c>
      <c r="B8" t="s">
        <v>32</v>
      </c>
      <c r="C8">
        <v>10</v>
      </c>
      <c r="D8">
        <v>25000</v>
      </c>
      <c r="E8">
        <f t="shared" si="0"/>
        <v>250000</v>
      </c>
      <c r="F8" t="str">
        <f t="shared" si="1"/>
        <v>Lets Buy it</v>
      </c>
    </row>
    <row r="9" spans="1:9">
      <c r="A9">
        <v>8</v>
      </c>
      <c r="B9" t="s">
        <v>33</v>
      </c>
      <c r="C9">
        <v>5</v>
      </c>
      <c r="D9">
        <v>250</v>
      </c>
      <c r="E9">
        <f t="shared" si="0"/>
        <v>1250</v>
      </c>
      <c r="F9" t="str">
        <f t="shared" si="1"/>
        <v>Lets Buy it</v>
      </c>
    </row>
    <row r="10" spans="1:9">
      <c r="A10">
        <v>9</v>
      </c>
      <c r="B10" t="s">
        <v>34</v>
      </c>
      <c r="C10">
        <v>25</v>
      </c>
      <c r="D10">
        <v>100</v>
      </c>
      <c r="E10">
        <f t="shared" si="0"/>
        <v>2500</v>
      </c>
      <c r="F10" t="str">
        <f t="shared" si="1"/>
        <v>Lets Buy it</v>
      </c>
    </row>
    <row r="11" spans="1:9">
      <c r="A11">
        <v>10</v>
      </c>
      <c r="B11" t="s">
        <v>35</v>
      </c>
      <c r="C11">
        <v>30</v>
      </c>
      <c r="D11">
        <v>12000</v>
      </c>
      <c r="E11">
        <f t="shared" si="0"/>
        <v>360000</v>
      </c>
      <c r="F11" t="str">
        <f t="shared" si="1"/>
        <v>Lets Buy it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Assignment 1</vt:lpstr>
      <vt:lpstr>Sheet1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2026-03-04T08:52:00Z</dcterms:created>
  <dcterms:modified xsi:type="dcterms:W3CDTF">2026-03-08T14:30:59Z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366FEF25FFAA4CB29F2B54512AFE8F98_12</vt:lpwstr>
  </property>
  <property fmtid="{D5CDD505-2E9C-101B-9397-08002B2CF9AE}" pid="3" name="KSOProductBuildVer">
    <vt:lpwstr>1033-12.2.0.23196</vt:lpwstr>
  </property>
</Properties>
</file>